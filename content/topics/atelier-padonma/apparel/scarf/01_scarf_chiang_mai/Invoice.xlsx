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WEAVE Fair Trade 2023\John Tigue\"/>
    </mc:Choice>
  </mc:AlternateContent>
  <xr:revisionPtr revIDLastSave="0" documentId="13_ncr:1_{98B5837E-572F-4ABB-95DD-6FADE6551E4C}" xr6:coauthVersionLast="47" xr6:coauthVersionMax="47" xr10:uidLastSave="{00000000-0000-0000-0000-000000000000}"/>
  <bookViews>
    <workbookView xWindow="2420" yWindow="0" windowWidth="13890" windowHeight="10080" xr2:uid="{8BFA6091-42DC-4C6C-9239-DC3EFB6A4265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19" i="1"/>
  <c r="E18" i="1"/>
  <c r="D20" i="1"/>
  <c r="B21" i="1"/>
  <c r="D19" i="1"/>
  <c r="D18" i="1"/>
  <c r="E21" i="1" l="1"/>
  <c r="D21" i="1"/>
</calcChain>
</file>

<file path=xl/sharedStrings.xml><?xml version="1.0" encoding="utf-8"?>
<sst xmlns="http://schemas.openxmlformats.org/spreadsheetml/2006/main" count="62" uniqueCount="60">
  <si>
    <t>Women's Education for Advancement and Empowerment (WEAVE)</t>
  </si>
  <si>
    <t>11/2 Soi 3 Sirimangkalajarn Road, Sutep, Muang, Chiang Mai, Thailand</t>
  </si>
  <si>
    <t>www.weavefairtrade.com</t>
  </si>
  <si>
    <t>Contact Person:</t>
  </si>
  <si>
    <t xml:space="preserve">Address for shipping: </t>
  </si>
  <si>
    <t>PO number:</t>
  </si>
  <si>
    <t>Contact number:</t>
  </si>
  <si>
    <t>Date:</t>
  </si>
  <si>
    <t>Order Description</t>
  </si>
  <si>
    <t>Quantity</t>
  </si>
  <si>
    <t>Unit Price(ThB)</t>
  </si>
  <si>
    <t>Shipping cost via DHL</t>
  </si>
  <si>
    <t>GRAND TOTAL</t>
  </si>
  <si>
    <t>Remarks: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</si>
  <si>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Calibri"/>
        <family val="2"/>
      </rPr>
      <t>100% payment required upon placing of order on all products.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</si>
  <si>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Calibri"/>
        <family val="2"/>
      </rPr>
      <t>Customer reserve the right to choose any courier they prefer.</t>
    </r>
  </si>
  <si>
    <t xml:space="preserve">      3.  All payments will have to be sent to WEAVE bank account.</t>
  </si>
  <si>
    <t>Account Name:</t>
  </si>
  <si>
    <t>WEAVE</t>
  </si>
  <si>
    <t>Bank Name:</t>
  </si>
  <si>
    <t>Account number:</t>
  </si>
  <si>
    <t>521-1-75325-9</t>
  </si>
  <si>
    <t>Bank Branch:</t>
  </si>
  <si>
    <t>Sutep Road</t>
  </si>
  <si>
    <t>SWIFT code:</t>
  </si>
  <si>
    <t>KRTHTHBK</t>
  </si>
  <si>
    <t>Address:</t>
  </si>
  <si>
    <t>Sutep Road, Chiang Mai 50200, Thailand</t>
  </si>
  <si>
    <t>Telephone number:</t>
  </si>
  <si>
    <t>+66 53 278870</t>
  </si>
  <si>
    <t>For Placing of Orders:</t>
  </si>
  <si>
    <t>WEAVE Sales and Marketing</t>
  </si>
  <si>
    <t xml:space="preserve">handicrafts@weave-women.org </t>
  </si>
  <si>
    <t>Tel: +66 847616918</t>
  </si>
  <si>
    <t>For Billing:</t>
  </si>
  <si>
    <t>WEAVE Finance</t>
  </si>
  <si>
    <t>ju@weave-women.org</t>
  </si>
  <si>
    <t xml:space="preserve">www.weave-women.org </t>
  </si>
  <si>
    <t>For Complaints</t>
  </si>
  <si>
    <t>WEAVE Executive Director</t>
  </si>
  <si>
    <t xml:space="preserve">mitos@weave-women.org </t>
  </si>
  <si>
    <t xml:space="preserve">                                                                       RECEIPT               : LS12282023</t>
  </si>
  <si>
    <t>John Tigue</t>
  </si>
  <si>
    <t xml:space="preserve">Labour - Lotus Silk scarf weaving </t>
  </si>
  <si>
    <t xml:space="preserve">Transportation </t>
  </si>
  <si>
    <t>344 15th Avenue</t>
  </si>
  <si>
    <t>Seattle, WA 98122</t>
  </si>
  <si>
    <t>USA</t>
  </si>
  <si>
    <t>206-334-3668</t>
  </si>
  <si>
    <t>TOTAL Cost (Thai Baht)</t>
  </si>
  <si>
    <t>Krung Thai Bank Public Company Limited</t>
  </si>
  <si>
    <t>TOTAL Cost (USD)</t>
  </si>
  <si>
    <t>Name:</t>
  </si>
  <si>
    <t xml:space="preserve">Maria Visitacion Ruiz Urgel </t>
  </si>
  <si>
    <t xml:space="preserve">Address </t>
  </si>
  <si>
    <t xml:space="preserve">11/2 Sirimangkalanjarn Soi 3, Chiang Mai, Thailand </t>
  </si>
  <si>
    <t xml:space="preserve">Phone: </t>
  </si>
  <si>
    <t xml:space="preserve">+66 8476161918 </t>
  </si>
  <si>
    <t>Email:</t>
  </si>
  <si>
    <t>WESTERN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</si>
</sst>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_-* #,##0.00_-;\-* #,##0.00_-;_-* &quot;-&quot;??_-;_-@_-"/>
  </numFmts>
  <fonts count="15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u/>
      <sz val="11"/>
      <color rgb="FF0000FF"/>
      <name val="Calibri"/>
      <family val="2"/>
    </font>
    <font>
      <sz val="8"/>
      <color rgb="FF000000"/>
      <name val="ArialMT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charset val="222"/>
    </font>
    <font>
      <sz val="7"/>
      <color rgb="FF000000"/>
      <name val="Times New Roman"/>
      <family val="1"/>
    </font>
    <font>
      <sz val="11"/>
      <name val="Calibri"/>
      <family val="2"/>
      <charset val="222"/>
    </font>
    <font>
      <sz val="11"/>
      <color rgb="FF2222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87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3" fillId="0" borderId="0" xfId="0" applyFont="1"/>
    <xf numFmtId="0" fontId="7" fillId="0" borderId="0" xfId="2" applyFont="1"/>
    <xf numFmtId="0" fontId="6" fillId="0" borderId="0" xfId="0" applyFont="1" applyAlignment="1">
      <alignment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87" fontId="4" fillId="0" borderId="1" xfId="1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187" fontId="3" fillId="4" borderId="1" xfId="1" applyFont="1" applyFill="1" applyBorder="1" applyAlignment="1" applyProtection="1">
      <alignment vertical="center"/>
    </xf>
    <xf numFmtId="0" fontId="4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indent="2"/>
    </xf>
    <xf numFmtId="0" fontId="13" fillId="0" borderId="0" xfId="0" applyFont="1"/>
    <xf numFmtId="0" fontId="13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6" fillId="0" borderId="0" xfId="0" applyFont="1"/>
    <xf numFmtId="49" fontId="9" fillId="0" borderId="0" xfId="0" applyNumberFormat="1" applyFont="1"/>
    <xf numFmtId="0" fontId="7" fillId="0" borderId="0" xfId="2" applyFont="1" applyBorder="1" applyProtection="1"/>
    <xf numFmtId="187" fontId="4" fillId="0" borderId="3" xfId="1" applyFont="1" applyBorder="1" applyAlignment="1">
      <alignment horizontal="center" vertical="center" wrapText="1"/>
    </xf>
    <xf numFmtId="0" fontId="14" fillId="0" borderId="0" xfId="0" applyFont="1"/>
    <xf numFmtId="43" fontId="4" fillId="0" borderId="0" xfId="0" applyNumberFormat="1" applyFont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2" applyFont="1" applyBorder="1" applyAlignment="1" applyProtection="1">
      <alignment horizontal="center"/>
    </xf>
    <xf numFmtId="0" fontId="6" fillId="0" borderId="0" xfId="2" applyFont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2" fillId="0" borderId="0" xfId="2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22610</xdr:rowOff>
    </xdr:from>
    <xdr:to>
      <xdr:col>0</xdr:col>
      <xdr:colOff>1644590</xdr:colOff>
      <xdr:row>5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406D6-3805-4E91-B9D1-F36D0AC493C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75060"/>
          <a:ext cx="1644590" cy="644140"/>
        </a:xfrm>
        <a:prstGeom prst="rect">
          <a:avLst/>
        </a:prstGeom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weave-women.org/" TargetMode="External"/><Relationship Id="rId7" Type="http://schemas.openxmlformats.org/officeDocument/2006/relationships/hyperlink" Target="mailto:handicrafts@weave-women.org" TargetMode="External"/><Relationship Id="rId2" Type="http://schemas.openxmlformats.org/officeDocument/2006/relationships/hyperlink" Target="mailto:ju@weave-women.org" TargetMode="External"/><Relationship Id="rId1" Type="http://schemas.openxmlformats.org/officeDocument/2006/relationships/hyperlink" Target="mailto:handicrafts@weave-women.org" TargetMode="External"/><Relationship Id="rId6" Type="http://schemas.openxmlformats.org/officeDocument/2006/relationships/hyperlink" Target="mailto:amy@ricehkl.com" TargetMode="External"/><Relationship Id="rId5" Type="http://schemas.openxmlformats.org/officeDocument/2006/relationships/hyperlink" Target="http://www.weavefairtrade.com/" TargetMode="External"/><Relationship Id="rId4" Type="http://schemas.openxmlformats.org/officeDocument/2006/relationships/hyperlink" Target="mailto:mitos@weave-wome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A3E8-2E48-411D-A6FB-9F3A76455AB2}">
  <dimension ref="A1:F47"/>
  <sheetViews>
    <sheetView tabSelected="1" workbookViewId="0">
      <selection activeCell="B33" sqref="B33"/>
    </sheetView>
  </sheetViews>
  <sheetFormatPr defaultColWidth="9.83203125" defaultRowHeight="14.5"/>
  <cols>
    <col min="1" max="1" width="31.5" style="1" customWidth="1"/>
    <col min="2" max="2" width="15.9140625" style="1" customWidth="1"/>
    <col min="3" max="3" width="10.6640625" style="1" customWidth="1"/>
    <col min="4" max="4" width="13.6640625" style="1" customWidth="1"/>
    <col min="5" max="5" width="11.58203125" style="1" customWidth="1"/>
    <col min="6" max="6" width="10.1640625" style="1" bestFit="1" customWidth="1"/>
    <col min="7" max="16384" width="9.83203125" style="1"/>
  </cols>
  <sheetData>
    <row r="1" spans="1:5">
      <c r="A1" s="28" t="s">
        <v>0</v>
      </c>
      <c r="B1" s="28"/>
      <c r="C1" s="28"/>
      <c r="D1" s="28"/>
    </row>
    <row r="2" spans="1:5">
      <c r="A2" s="28" t="s">
        <v>1</v>
      </c>
      <c r="B2" s="28"/>
      <c r="C2" s="28"/>
      <c r="D2" s="28"/>
    </row>
    <row r="3" spans="1:5">
      <c r="A3" s="29" t="s">
        <v>2</v>
      </c>
      <c r="B3" s="29"/>
      <c r="C3" s="29"/>
      <c r="D3" s="29"/>
    </row>
    <row r="4" spans="1:5">
      <c r="A4" s="30" t="s">
        <v>41</v>
      </c>
      <c r="B4" s="30"/>
      <c r="C4" s="30"/>
      <c r="D4" s="30"/>
    </row>
    <row r="5" spans="1:5" ht="23" customHeight="1"/>
    <row r="6" spans="1:5" ht="23" customHeight="1"/>
    <row r="7" spans="1:5">
      <c r="A7" s="2" t="s">
        <v>3</v>
      </c>
      <c r="B7" s="3" t="s">
        <v>42</v>
      </c>
      <c r="C7" s="2"/>
      <c r="D7" s="2"/>
    </row>
    <row r="8" spans="1:5">
      <c r="A8" s="2" t="s">
        <v>4</v>
      </c>
      <c r="B8" s="25" t="s">
        <v>42</v>
      </c>
    </row>
    <row r="9" spans="1:5">
      <c r="A9" s="2"/>
      <c r="B9" s="25" t="s">
        <v>45</v>
      </c>
      <c r="C9" s="4"/>
      <c r="D9" s="4"/>
    </row>
    <row r="10" spans="1:5">
      <c r="A10" s="2"/>
      <c r="B10" s="25" t="s">
        <v>46</v>
      </c>
      <c r="C10" s="4"/>
      <c r="D10" s="4"/>
    </row>
    <row r="11" spans="1:5">
      <c r="B11" s="25" t="s">
        <v>47</v>
      </c>
      <c r="C11" s="4"/>
      <c r="D11" s="4"/>
    </row>
    <row r="12" spans="1:5">
      <c r="A12" s="2"/>
      <c r="B12"/>
      <c r="C12" s="4"/>
      <c r="D12" s="4"/>
    </row>
    <row r="13" spans="1:5">
      <c r="A13" s="2" t="s">
        <v>5</v>
      </c>
      <c r="B13"/>
      <c r="C13" s="5"/>
      <c r="D13" s="4"/>
    </row>
    <row r="14" spans="1:5">
      <c r="A14" s="2" t="s">
        <v>6</v>
      </c>
      <c r="B14" s="25" t="s">
        <v>48</v>
      </c>
      <c r="C14" s="4"/>
      <c r="D14" s="4"/>
    </row>
    <row r="15" spans="1:5" ht="16" customHeight="1">
      <c r="A15" s="2" t="s">
        <v>7</v>
      </c>
    </row>
    <row r="16" spans="1:5" ht="14.4" customHeight="1">
      <c r="A16" s="31" t="s">
        <v>8</v>
      </c>
      <c r="B16" s="31" t="s">
        <v>9</v>
      </c>
      <c r="C16" s="32" t="s">
        <v>10</v>
      </c>
      <c r="D16" s="27" t="s">
        <v>49</v>
      </c>
      <c r="E16" s="27" t="s">
        <v>51</v>
      </c>
    </row>
    <row r="17" spans="1:6" ht="18" customHeight="1">
      <c r="A17" s="31"/>
      <c r="B17" s="31"/>
      <c r="C17" s="33"/>
      <c r="D17" s="27"/>
      <c r="E17" s="27"/>
    </row>
    <row r="18" spans="1:6" s="9" customFormat="1" ht="18" customHeight="1">
      <c r="A18" s="6" t="s">
        <v>43</v>
      </c>
      <c r="B18" s="7">
        <v>1</v>
      </c>
      <c r="C18" s="24">
        <v>600</v>
      </c>
      <c r="D18" s="8">
        <f>SUM(B18*C18)</f>
        <v>600</v>
      </c>
      <c r="E18" s="8">
        <f>SUM(600/34)</f>
        <v>17.647058823529413</v>
      </c>
    </row>
    <row r="19" spans="1:6" ht="18" customHeight="1">
      <c r="A19" s="6" t="s">
        <v>44</v>
      </c>
      <c r="B19" s="7">
        <v>2</v>
      </c>
      <c r="C19" s="24">
        <v>2500</v>
      </c>
      <c r="D19" s="8">
        <f>B19*C19</f>
        <v>5000</v>
      </c>
      <c r="E19" s="8">
        <f>5000/34</f>
        <v>147.05882352941177</v>
      </c>
    </row>
    <row r="20" spans="1:6" ht="18" customHeight="1">
      <c r="A20" s="6" t="s">
        <v>11</v>
      </c>
      <c r="B20" s="7">
        <v>1</v>
      </c>
      <c r="C20" s="24">
        <v>1225</v>
      </c>
      <c r="D20" s="8">
        <f>SUM(B20*C20)</f>
        <v>1225</v>
      </c>
      <c r="E20" s="8">
        <f>1225/34</f>
        <v>36.029411764705884</v>
      </c>
    </row>
    <row r="21" spans="1:6" s="13" customFormat="1">
      <c r="A21" s="10" t="s">
        <v>12</v>
      </c>
      <c r="B21" s="10">
        <f>SUM(B18:B20)</f>
        <v>4</v>
      </c>
      <c r="C21" s="11"/>
      <c r="D21" s="12">
        <f>SUM(D18:D20)</f>
        <v>6825</v>
      </c>
      <c r="E21" s="12">
        <f>SUM(E18:E20)</f>
        <v>200.73529411764707</v>
      </c>
      <c r="F21" s="26"/>
    </row>
    <row r="22" spans="1:6" s="16" customFormat="1">
      <c r="A22" s="14" t="s">
        <v>13</v>
      </c>
      <c r="B22" s="15"/>
      <c r="C22" s="15"/>
      <c r="D22" s="15"/>
    </row>
    <row r="23" spans="1:6" s="16" customFormat="1">
      <c r="A23" s="17" t="s">
        <v>14</v>
      </c>
      <c r="B23" s="18"/>
      <c r="C23" s="18"/>
      <c r="D23" s="15"/>
    </row>
    <row r="24" spans="1:6" s="16" customFormat="1">
      <c r="A24" s="17" t="s">
        <v>15</v>
      </c>
      <c r="B24" s="18"/>
      <c r="C24" s="18"/>
      <c r="D24" s="15"/>
    </row>
    <row r="25" spans="1:6" s="16" customFormat="1">
      <c r="A25" s="19" t="s">
        <v>16</v>
      </c>
      <c r="B25" s="18"/>
      <c r="C25" s="18"/>
      <c r="D25" s="15"/>
    </row>
    <row r="26" spans="1:6" s="16" customFormat="1" ht="13.75" customHeight="1">
      <c r="A26" s="20" t="s">
        <v>17</v>
      </c>
      <c r="B26" s="15" t="s">
        <v>18</v>
      </c>
      <c r="C26" s="21"/>
      <c r="D26" s="15"/>
    </row>
    <row r="27" spans="1:6" s="16" customFormat="1" ht="13.75" customHeight="1">
      <c r="A27" s="20" t="s">
        <v>19</v>
      </c>
      <c r="B27" s="15" t="s">
        <v>50</v>
      </c>
      <c r="C27" s="21"/>
      <c r="D27" s="15"/>
    </row>
    <row r="28" spans="1:6" s="16" customFormat="1" ht="13.75" customHeight="1">
      <c r="A28" s="20" t="s">
        <v>20</v>
      </c>
      <c r="B28" s="15" t="s">
        <v>21</v>
      </c>
      <c r="C28" s="21"/>
      <c r="D28" s="15"/>
    </row>
    <row r="29" spans="1:6" s="16" customFormat="1" ht="13.75" customHeight="1">
      <c r="A29" s="20" t="s">
        <v>22</v>
      </c>
      <c r="B29" s="15" t="s">
        <v>23</v>
      </c>
      <c r="C29" s="21"/>
      <c r="D29" s="15"/>
    </row>
    <row r="30" spans="1:6" s="16" customFormat="1" ht="13.75" customHeight="1">
      <c r="A30" s="20" t="s">
        <v>24</v>
      </c>
      <c r="B30" s="15" t="s">
        <v>25</v>
      </c>
      <c r="C30" s="21"/>
      <c r="D30" s="15"/>
    </row>
    <row r="31" spans="1:6" s="16" customFormat="1" ht="14.4" customHeight="1">
      <c r="A31" s="20" t="s">
        <v>26</v>
      </c>
      <c r="B31" s="15" t="s">
        <v>27</v>
      </c>
      <c r="C31" s="21"/>
      <c r="D31" s="15"/>
    </row>
    <row r="32" spans="1:6" s="16" customFormat="1" ht="13.5" customHeight="1">
      <c r="A32" s="20" t="s">
        <v>28</v>
      </c>
      <c r="B32" s="22" t="s">
        <v>29</v>
      </c>
      <c r="C32" s="21"/>
      <c r="D32" s="15"/>
    </row>
    <row r="33" spans="1:4" s="16" customFormat="1" ht="13.5" customHeight="1">
      <c r="A33" s="20"/>
      <c r="B33" s="22"/>
      <c r="C33" s="21"/>
      <c r="D33" s="15"/>
    </row>
    <row r="34" spans="1:4" s="16" customFormat="1" ht="13.5" customHeight="1">
      <c r="A34" s="20" t="s">
        <v>59</v>
      </c>
      <c r="B34" s="22"/>
      <c r="C34" s="21"/>
      <c r="D34" s="15"/>
    </row>
    <row r="35" spans="1:4" s="16" customFormat="1" ht="13.5" customHeight="1">
      <c r="A35" s="20" t="s">
        <v>52</v>
      </c>
      <c r="B35" s="22" t="s">
        <v>53</v>
      </c>
      <c r="C35" s="21"/>
      <c r="D35" s="15"/>
    </row>
    <row r="36" spans="1:4" s="16" customFormat="1" ht="13.5" customHeight="1">
      <c r="A36" s="20" t="s">
        <v>54</v>
      </c>
      <c r="B36" s="22" t="s">
        <v>55</v>
      </c>
      <c r="C36" s="21"/>
      <c r="D36" s="15"/>
    </row>
    <row r="37" spans="1:4" s="16" customFormat="1" ht="13.5" customHeight="1">
      <c r="A37" s="20" t="s">
        <v>56</v>
      </c>
      <c r="B37" s="22" t="s">
        <v>57</v>
      </c>
      <c r="C37" s="21"/>
      <c r="D37" s="15"/>
    </row>
    <row r="38" spans="1:4" s="16" customFormat="1">
      <c r="A38" s="20" t="s">
        <v>58</v>
      </c>
      <c r="B38" s="34" t="s">
        <v>32</v>
      </c>
      <c r="C38" s="21"/>
      <c r="D38" s="15"/>
    </row>
    <row r="39" spans="1:4" s="16" customFormat="1">
      <c r="A39" s="20"/>
      <c r="B39" s="22"/>
      <c r="C39" s="21"/>
      <c r="D39" s="15"/>
    </row>
    <row r="40" spans="1:4">
      <c r="A40" s="1" t="s">
        <v>30</v>
      </c>
      <c r="B40" s="2" t="s">
        <v>31</v>
      </c>
    </row>
    <row r="41" spans="1:4">
      <c r="B41" s="23" t="s">
        <v>32</v>
      </c>
      <c r="D41" s="1" t="s">
        <v>33</v>
      </c>
    </row>
    <row r="42" spans="1:4">
      <c r="A42" s="1" t="s">
        <v>34</v>
      </c>
      <c r="B42" s="2" t="s">
        <v>35</v>
      </c>
    </row>
    <row r="43" spans="1:4">
      <c r="B43" s="23" t="s">
        <v>36</v>
      </c>
    </row>
    <row r="44" spans="1:4">
      <c r="B44" s="23" t="s">
        <v>37</v>
      </c>
    </row>
    <row r="45" spans="1:4">
      <c r="A45" s="1" t="s">
        <v>38</v>
      </c>
      <c r="B45" s="1" t="s">
        <v>39</v>
      </c>
      <c r="D45" s="2"/>
    </row>
    <row r="46" spans="1:4">
      <c r="B46" s="23" t="s">
        <v>40</v>
      </c>
      <c r="C46" s="2"/>
    </row>
    <row r="47" spans="1:4">
      <c r="A47" s="28"/>
      <c r="B47" s="28"/>
      <c r="C47" s="28"/>
      <c r="D47" s="28"/>
    </row>
  </sheetData>
  <mergeCells count="10">
    <mergeCell ref="E16:E17"/>
    <mergeCell ref="A47:D47"/>
    <mergeCell ref="A1:D1"/>
    <mergeCell ref="A2:D2"/>
    <mergeCell ref="A3:D3"/>
    <mergeCell ref="A4:D4"/>
    <mergeCell ref="A16:A17"/>
    <mergeCell ref="B16:B17"/>
    <mergeCell ref="C16:C17"/>
    <mergeCell ref="D16:D17"/>
  </mergeCells>
  <hyperlinks>
    <hyperlink ref="B41" r:id="rId1" xr:uid="{3005965A-0D65-41F8-AB67-2655BC611943}"/>
    <hyperlink ref="B43" r:id="rId2" xr:uid="{227D1ECB-E0CB-4150-A772-C06D661077A6}"/>
    <hyperlink ref="B44" r:id="rId3" xr:uid="{985243B1-EBF5-4A88-99DC-053431832459}"/>
    <hyperlink ref="B46" r:id="rId4" xr:uid="{37536C02-D794-4A67-B142-5E387097D01F}"/>
    <hyperlink ref="A3" r:id="rId5" xr:uid="{6B5859AF-C6F6-4CA7-9946-DA9E4F8CF2DC}"/>
    <hyperlink ref="B7" r:id="rId6" display="amy@ricehkl.com" xr:uid="{2420867A-F5DB-4B1C-A765-049B2823060E}"/>
    <hyperlink ref="B38" r:id="rId7" xr:uid="{746C1C91-662A-45C8-A5C1-B303B14AFF88}"/>
  </hyperlinks>
  <pageMargins left="0.7" right="0.7" top="0.75" bottom="0.75" header="0.3" footer="0.3"/>
  <ignoredErrors>
    <ignoredError sqref="D19" formula="1"/>
  </ignoredErrors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WEAVE Fair Trade</dc:creator>
  <cp:lastModifiedBy>DELL</cp:lastModifiedBy>
  <dcterms:created xsi:type="dcterms:W3CDTF">2023-12-27T13:18:07Z</dcterms:created>
  <dcterms:modified xsi:type="dcterms:W3CDTF">2024-01-01T15:01:53Z</dcterms:modified>
</cp:coreProperties>
</file>